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<sst xmlns="http://schemas.openxmlformats.org/spreadsheetml/2006/main" count="42" uniqueCount="32">
  <si>
    <t>Дата</t>
  </si>
  <si>
    <t>Кошель</t>
  </si>
  <si>
    <t>Депозит в монете/USDC</t>
  </si>
  <si>
    <t>Значение нижней границы</t>
  </si>
  <si>
    <t>Цена входа</t>
  </si>
  <si>
    <t>Значение верхней границы</t>
  </si>
  <si>
    <t>Сумма в USDC</t>
  </si>
  <si>
    <t>Число взятых ETH в ПУЛЕ</t>
  </si>
  <si>
    <t>Выход по нижней границе в ETH/стоимость безубытка ETH</t>
  </si>
  <si>
    <t>выход по верхней границе в USDC</t>
  </si>
  <si>
    <t>Комиссия на дату выхода</t>
  </si>
  <si>
    <t>% за время пула</t>
  </si>
  <si>
    <t>Активы на стороне залога на 01.01.2026 (курс на 01.01)</t>
  </si>
  <si>
    <t>Займ на 01.01.2026</t>
  </si>
  <si>
    <t>Тело пула на 01.01.2026</t>
  </si>
  <si>
    <t>$</t>
  </si>
  <si>
    <t>BTC/$</t>
  </si>
  <si>
    <t>ETH/$</t>
  </si>
  <si>
    <t>ARB/$</t>
  </si>
  <si>
    <t>BAABTC (fba3)</t>
  </si>
  <si>
    <t>BAABTC(fba3)</t>
  </si>
  <si>
    <t>Итого на 1 января 2026 года</t>
  </si>
  <si>
    <t>DALETH (6bcb)</t>
  </si>
  <si>
    <t>DALETHNEW (6bcb)</t>
  </si>
  <si>
    <t>BAAETH (7f66)</t>
  </si>
  <si>
    <t>BPVNEW (439f)</t>
  </si>
  <si>
    <t>BPV(b255)</t>
  </si>
  <si>
    <t>%</t>
  </si>
  <si>
    <t>ETH</t>
  </si>
  <si>
    <t>Займ</t>
  </si>
  <si>
    <t>ПУЛ раб</t>
  </si>
  <si>
    <t>Нашего ETH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</si>
</sst>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$]#,##0.00"/>
    <numFmt numFmtId="165" formatCode="dd.MM.yyyy H:mm:ss"/>
    <numFmt numFmtId="166" formatCode="&quot;$&quot;#,##0.00"/>
    <numFmt numFmtId="167" formatCode="0.000000"/>
    <numFmt numFmtId="168" formatCode="d.m.yyyy"/>
    <numFmt numFmtId="169" formatCode="d.m.yyyy h:mm"/>
    <numFmt numFmtId="170" formatCode="dd.MM.yyyy"/>
    <numFmt numFmtId="171" formatCode="d.m"/>
  </numFmts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DD7E6B"/>
        <bgColor rgb="FFDD7E6B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3D85C6"/>
        <bgColor rgb="FF3D85C6"/>
      </patternFill>
    </fill>
    <fill>
      <patternFill patternType="solid">
        <fgColor rgb="FFEA9999"/>
        <bgColor rgb="FFEA9999"/>
      </patternFill>
    </fill>
    <fill>
      <patternFill patternType="solid">
        <fgColor rgb="FFF1C232"/>
        <bgColor rgb="FFF1C232"/>
      </patternFill>
    </fill>
    <fill>
      <patternFill patternType="solid">
        <fgColor rgb="FFD0E0E3"/>
        <bgColor rgb="FFD0E0E3"/>
      </patternFill>
    </fill>
    <fill>
      <patternFill patternType="solid">
        <fgColor rgb="FF4A86E8"/>
        <bgColor rgb="FF4A86E8"/>
      </patternFill>
    </fill>
    <fill>
      <patternFill patternType="solid">
        <fgColor rgb="FF6AA84F"/>
        <bgColor rgb="FF6AA84F"/>
      </patternFill>
    </fill>
  </fills>
  <borders count="3">
    <border/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2" fontId="1" numFmtId="0" xfId="0" applyAlignment="1" applyFont="1">
      <alignment horizontal="center" shrinkToFit="0" vertical="top" wrapText="1"/>
    </xf>
    <xf borderId="0" fillId="2" fontId="1" numFmtId="0" xfId="0" applyAlignment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2" fontId="2" numFmtId="0" xfId="0" applyAlignment="1" applyFont="1">
      <alignment horizontal="center" shrinkToFit="0" vertical="bottom" wrapText="1"/>
    </xf>
    <xf borderId="0" fillId="0" fontId="1" numFmtId="0" xfId="0" applyAlignment="1" applyFont="1">
      <alignment vertical="bottom"/>
    </xf>
    <xf borderId="0" fillId="2" fontId="2" numFmtId="164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1" fillId="3" fontId="1" numFmtId="165" xfId="0" applyAlignment="1" applyBorder="1" applyFill="1" applyFont="1" applyNumberFormat="1">
      <alignment horizontal="right" vertical="bottom"/>
    </xf>
    <xf borderId="0" fillId="4" fontId="1" numFmtId="0" xfId="0" applyAlignment="1" applyFill="1" applyFont="1">
      <alignment vertical="bottom"/>
    </xf>
    <xf borderId="0" fillId="3" fontId="1" numFmtId="0" xfId="0" applyAlignment="1" applyFont="1">
      <alignment vertical="bottom"/>
    </xf>
    <xf borderId="0" fillId="3" fontId="1" numFmtId="166" xfId="0" applyAlignment="1" applyFont="1" applyNumberFormat="1">
      <alignment horizontal="center" vertical="bottom"/>
    </xf>
    <xf borderId="0" fillId="3" fontId="2" numFmtId="166" xfId="0" applyAlignment="1" applyFont="1" applyNumberFormat="1">
      <alignment horizontal="center" vertical="bottom"/>
    </xf>
    <xf borderId="0" fillId="3" fontId="1" numFmtId="167" xfId="0" applyAlignment="1" applyFont="1" applyNumberFormat="1">
      <alignment horizontal="center" vertical="bottom"/>
    </xf>
    <xf borderId="2" fillId="3" fontId="1" numFmtId="166" xfId="0" applyAlignment="1" applyBorder="1" applyFont="1" applyNumberFormat="1">
      <alignment horizontal="center" vertical="bottom"/>
    </xf>
    <xf borderId="0" fillId="3" fontId="2" numFmtId="168" xfId="0" applyAlignment="1" applyFont="1" applyNumberFormat="1">
      <alignment horizontal="center" vertical="bottom"/>
    </xf>
    <xf borderId="0" fillId="3" fontId="2" numFmtId="164" xfId="0" applyAlignment="1" applyFont="1" applyNumberFormat="1">
      <alignment horizontal="center" vertical="bottom"/>
    </xf>
    <xf borderId="0" fillId="0" fontId="1" numFmtId="169" xfId="0" applyAlignment="1" applyFont="1" applyNumberFormat="1">
      <alignment vertical="bottom"/>
    </xf>
    <xf borderId="0" fillId="5" fontId="1" numFmtId="0" xfId="0" applyAlignment="1" applyFill="1" applyFont="1">
      <alignment horizontal="right" vertical="bottom"/>
    </xf>
    <xf borderId="0" fillId="5" fontId="1" numFmtId="164" xfId="0" applyAlignment="1" applyFont="1" applyNumberFormat="1">
      <alignment horizontal="center" vertical="bottom"/>
    </xf>
    <xf borderId="0" fillId="0" fontId="1" numFmtId="10" xfId="0" applyAlignment="1" applyFont="1" applyNumberFormat="1">
      <alignment vertical="bottom"/>
    </xf>
    <xf borderId="0" fillId="6" fontId="1" numFmtId="164" xfId="0" applyAlignment="1" applyFill="1" applyFont="1" applyNumberFormat="1">
      <alignment horizontal="center" vertical="bottom"/>
    </xf>
    <xf borderId="1" fillId="0" fontId="1" numFmtId="165" xfId="0" applyAlignment="1" applyBorder="1" applyFont="1" applyNumberFormat="1">
      <alignment horizontal="right" vertical="bottom"/>
    </xf>
    <xf borderId="0" fillId="0" fontId="1" numFmtId="166" xfId="0" applyAlignment="1" applyFont="1" applyNumberFormat="1">
      <alignment horizontal="center" vertical="bottom"/>
    </xf>
    <xf borderId="0" fillId="0" fontId="2" numFmtId="166" xfId="0" applyAlignment="1" applyFont="1" applyNumberFormat="1">
      <alignment horizontal="center" vertical="bottom"/>
    </xf>
    <xf borderId="0" fillId="7" fontId="1" numFmtId="167" xfId="0" applyAlignment="1" applyFill="1" applyFont="1" applyNumberFormat="1">
      <alignment horizontal="center" vertical="bottom"/>
    </xf>
    <xf borderId="0" fillId="7" fontId="2" numFmtId="166" xfId="0" applyAlignment="1" applyFont="1" applyNumberFormat="1">
      <alignment horizontal="center" vertical="bottom"/>
    </xf>
    <xf borderId="2" fillId="7" fontId="1" numFmtId="166" xfId="0" applyAlignment="1" applyBorder="1" applyFont="1" applyNumberFormat="1">
      <alignment horizontal="center" vertical="bottom"/>
    </xf>
    <xf borderId="0" fillId="5" fontId="2" numFmtId="168" xfId="0" applyAlignment="1" applyFont="1" applyNumberFormat="1">
      <alignment horizontal="center" vertical="bottom"/>
    </xf>
    <xf borderId="0" fillId="5" fontId="2" numFmtId="0" xfId="0" applyAlignment="1" applyFont="1">
      <alignment horizontal="center" vertical="bottom"/>
    </xf>
    <xf borderId="1" fillId="5" fontId="2" numFmtId="0" xfId="0" applyAlignment="1" applyBorder="1" applyFont="1">
      <alignment shrinkToFit="0" vertical="bottom" wrapText="0"/>
    </xf>
    <xf borderId="0" fillId="5" fontId="1" numFmtId="0" xfId="0" applyAlignment="1" applyFont="1">
      <alignment vertical="bottom"/>
    </xf>
    <xf borderId="0" fillId="5" fontId="1" numFmtId="166" xfId="0" applyAlignment="1" applyFont="1" applyNumberFormat="1">
      <alignment vertical="bottom"/>
    </xf>
    <xf borderId="0" fillId="5" fontId="1" numFmtId="167" xfId="0" applyAlignment="1" applyFont="1" applyNumberFormat="1">
      <alignment vertical="bottom"/>
    </xf>
    <xf borderId="2" fillId="5" fontId="1" numFmtId="166" xfId="0" applyAlignment="1" applyBorder="1" applyFont="1" applyNumberFormat="1">
      <alignment vertical="bottom"/>
    </xf>
    <xf borderId="0" fillId="5" fontId="1" numFmtId="168" xfId="0" applyAlignment="1" applyFont="1" applyNumberFormat="1">
      <alignment vertical="bottom"/>
    </xf>
    <xf borderId="0" fillId="5" fontId="2" numFmtId="164" xfId="0" applyAlignment="1" applyFont="1" applyNumberFormat="1">
      <alignment horizontal="center" vertical="bottom"/>
    </xf>
    <xf borderId="0" fillId="5" fontId="1" numFmtId="169" xfId="0" applyAlignment="1" applyFont="1" applyNumberFormat="1">
      <alignment vertical="bottom"/>
    </xf>
    <xf borderId="0" fillId="5" fontId="2" numFmtId="0" xfId="0" applyAlignment="1" applyFont="1">
      <alignment horizontal="right" vertical="bottom"/>
    </xf>
    <xf borderId="0" fillId="5" fontId="2" numFmtId="164" xfId="0" applyAlignment="1" applyFont="1" applyNumberFormat="1">
      <alignment horizontal="right" vertical="bottom"/>
    </xf>
    <xf borderId="0" fillId="6" fontId="2" numFmtId="164" xfId="0" applyAlignment="1" applyFont="1" applyNumberFormat="1">
      <alignment horizontal="center" vertical="bottom"/>
    </xf>
    <xf borderId="0" fillId="0" fontId="1" numFmtId="166" xfId="0" applyAlignment="1" applyFont="1" applyNumberFormat="1">
      <alignment vertical="bottom"/>
    </xf>
    <xf borderId="0" fillId="0" fontId="1" numFmtId="167" xfId="0" applyAlignment="1" applyFont="1" applyNumberFormat="1">
      <alignment vertical="bottom"/>
    </xf>
    <xf borderId="2" fillId="0" fontId="1" numFmtId="166" xfId="0" applyAlignment="1" applyBorder="1" applyFont="1" applyNumberFormat="1">
      <alignment vertical="bottom"/>
    </xf>
    <xf borderId="0" fillId="0" fontId="1" numFmtId="168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1" fillId="8" fontId="1" numFmtId="165" xfId="0" applyAlignment="1" applyBorder="1" applyFill="1" applyFont="1" applyNumberFormat="1">
      <alignment horizontal="right" vertical="bottom"/>
    </xf>
    <xf borderId="0" fillId="8" fontId="1" numFmtId="0" xfId="0" applyAlignment="1" applyFont="1">
      <alignment vertical="bottom"/>
    </xf>
    <xf borderId="0" fillId="5" fontId="1" numFmtId="164" xfId="0" applyAlignment="1" applyFont="1" applyNumberFormat="1">
      <alignment vertical="bottom"/>
    </xf>
    <xf borderId="0" fillId="9" fontId="2" numFmtId="164" xfId="0" applyAlignment="1" applyFill="1" applyFont="1" applyNumberFormat="1">
      <alignment horizontal="center" vertical="bottom"/>
    </xf>
    <xf borderId="1" fillId="0" fontId="1" numFmtId="165" xfId="0" applyAlignment="1" applyBorder="1" applyFont="1" applyNumberFormat="1">
      <alignment vertical="bottom"/>
    </xf>
    <xf borderId="0" fillId="10" fontId="1" numFmtId="0" xfId="0" applyAlignment="1" applyFill="1" applyFont="1">
      <alignment vertical="bottom"/>
    </xf>
    <xf borderId="0" fillId="11" fontId="1" numFmtId="166" xfId="0" applyAlignment="1" applyFill="1" applyFont="1" applyNumberFormat="1">
      <alignment horizontal="center" vertical="bottom"/>
    </xf>
    <xf borderId="0" fillId="5" fontId="1" numFmtId="0" xfId="0" applyAlignment="1" applyFont="1">
      <alignment horizontal="center" vertical="bottom"/>
    </xf>
    <xf borderId="1" fillId="12" fontId="1" numFmtId="165" xfId="0" applyAlignment="1" applyBorder="1" applyFill="1" applyFont="1" applyNumberFormat="1">
      <alignment horizontal="right" vertical="bottom"/>
    </xf>
    <xf borderId="0" fillId="13" fontId="1" numFmtId="0" xfId="0" applyAlignment="1" applyFill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center" vertical="bottom"/>
    </xf>
    <xf borderId="0" fillId="0" fontId="1" numFmtId="170" xfId="0" applyAlignment="1" applyFont="1" applyNumberFormat="1">
      <alignment vertical="bottom"/>
    </xf>
    <xf borderId="0" fillId="0" fontId="1" numFmtId="17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1" t="s">
        <v>8</v>
      </c>
      <c r="L1" s="1" t="s">
        <v>9</v>
      </c>
      <c r="M1" s="3" t="s">
        <v>10</v>
      </c>
      <c r="O1" s="1" t="s">
        <v>11</v>
      </c>
      <c r="P1" s="4" t="s">
        <v>12</v>
      </c>
      <c r="W1" s="5" t="s">
        <v>13</v>
      </c>
      <c r="X1" s="5" t="s">
        <v>14</v>
      </c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4" t="s">
        <v>15</v>
      </c>
      <c r="Q2" s="7" t="s">
        <v>16</v>
      </c>
      <c r="S2" s="7" t="s">
        <v>17</v>
      </c>
      <c r="U2" s="4" t="s">
        <v>18</v>
      </c>
      <c r="W2" s="8" t="s">
        <v>15</v>
      </c>
      <c r="X2" s="8" t="s">
        <v>15</v>
      </c>
    </row>
    <row r="3">
      <c r="A3" s="9">
        <v>45972.52777777778</v>
      </c>
      <c r="B3" s="10" t="s">
        <v>19</v>
      </c>
      <c r="C3" s="11"/>
      <c r="D3" s="12">
        <v>14100.0</v>
      </c>
      <c r="E3" s="12">
        <v>3044.0</v>
      </c>
      <c r="F3" s="13">
        <v>3558.0</v>
      </c>
      <c r="G3" s="12">
        <v>4100.0</v>
      </c>
      <c r="H3" s="12">
        <v>4467.0</v>
      </c>
      <c r="I3" s="11"/>
      <c r="J3" s="14">
        <f t="shared" ref="J3:J4" si="1">(H3/2/F3)+(H3/2)/SQRT(E3*F3)</f>
        <v>1.306413443</v>
      </c>
      <c r="K3" s="13">
        <f t="shared" ref="K3:K4" si="2">H3/J3</f>
        <v>3419.285085</v>
      </c>
      <c r="L3" s="15">
        <f t="shared" ref="L3:L4" si="3">(H3/2)+(H3/2)/F3*SQRT(F3*G3)</f>
        <v>4631.089971</v>
      </c>
      <c r="M3" s="16">
        <v>45982.0</v>
      </c>
      <c r="N3" s="17">
        <v>101.78</v>
      </c>
      <c r="O3" s="18"/>
      <c r="P3" s="18"/>
      <c r="Q3" s="19"/>
      <c r="R3" s="20"/>
      <c r="S3" s="6"/>
      <c r="T3" s="21"/>
      <c r="U3" s="6"/>
      <c r="V3" s="6"/>
      <c r="W3" s="22">
        <v>4530.0</v>
      </c>
      <c r="X3" s="22">
        <v>0.0</v>
      </c>
    </row>
    <row r="4">
      <c r="A4" s="23">
        <v>45982.3625</v>
      </c>
      <c r="B4" s="10" t="s">
        <v>20</v>
      </c>
      <c r="C4" s="6"/>
      <c r="D4" s="24">
        <v>996.0</v>
      </c>
      <c r="E4" s="24">
        <v>2500.0</v>
      </c>
      <c r="F4" s="25">
        <v>2786.0</v>
      </c>
      <c r="G4" s="24">
        <v>3301.0</v>
      </c>
      <c r="H4" s="24">
        <v>996.0</v>
      </c>
      <c r="I4" s="6"/>
      <c r="J4" s="26">
        <f t="shared" si="1"/>
        <v>0.3674495427</v>
      </c>
      <c r="K4" s="27">
        <f t="shared" si="2"/>
        <v>2710.576241</v>
      </c>
      <c r="L4" s="28">
        <f t="shared" si="3"/>
        <v>1040.077709</v>
      </c>
      <c r="M4" s="29">
        <v>46023.0</v>
      </c>
      <c r="N4" s="30">
        <v>84.77</v>
      </c>
      <c r="O4" s="18"/>
      <c r="P4" s="6"/>
      <c r="Q4" s="6"/>
      <c r="R4" s="6"/>
      <c r="S4" s="19">
        <v>1.78</v>
      </c>
      <c r="T4" s="20">
        <v>5314.0</v>
      </c>
      <c r="U4" s="6"/>
      <c r="V4" s="6"/>
      <c r="W4" s="22">
        <v>1987.0</v>
      </c>
      <c r="X4" s="22">
        <v>768.0</v>
      </c>
    </row>
    <row r="5">
      <c r="A5" s="31" t="s">
        <v>21</v>
      </c>
      <c r="B5" s="32"/>
      <c r="C5" s="32"/>
      <c r="D5" s="33"/>
      <c r="E5" s="33"/>
      <c r="F5" s="33"/>
      <c r="G5" s="33"/>
      <c r="H5" s="33"/>
      <c r="I5" s="32"/>
      <c r="J5" s="34"/>
      <c r="K5" s="33"/>
      <c r="L5" s="35"/>
      <c r="M5" s="36"/>
      <c r="N5" s="37">
        <f>N3+N4</f>
        <v>186.55</v>
      </c>
      <c r="O5" s="38"/>
      <c r="P5" s="38"/>
      <c r="Q5" s="39">
        <f t="shared" ref="Q5:T5" si="4">SUM(Q3:Q4)</f>
        <v>0</v>
      </c>
      <c r="R5" s="40">
        <f t="shared" si="4"/>
        <v>0</v>
      </c>
      <c r="S5" s="39">
        <f t="shared" si="4"/>
        <v>1.78</v>
      </c>
      <c r="T5" s="37">
        <f t="shared" si="4"/>
        <v>5314</v>
      </c>
      <c r="U5" s="32"/>
      <c r="V5" s="32"/>
      <c r="W5" s="41">
        <f t="shared" ref="W5:X5" si="5">SUM(W3:W4)</f>
        <v>6517</v>
      </c>
      <c r="X5" s="41">
        <f t="shared" si="5"/>
        <v>768</v>
      </c>
    </row>
    <row r="6">
      <c r="A6" s="6"/>
      <c r="B6" s="6"/>
      <c r="C6" s="6"/>
      <c r="D6" s="42"/>
      <c r="E6" s="42"/>
      <c r="F6" s="42"/>
      <c r="G6" s="42"/>
      <c r="H6" s="42"/>
      <c r="I6" s="6"/>
      <c r="J6" s="43"/>
      <c r="K6" s="42"/>
      <c r="L6" s="44"/>
      <c r="M6" s="45"/>
      <c r="N6" s="46"/>
      <c r="O6" s="18"/>
      <c r="P6" s="18"/>
      <c r="Q6" s="6"/>
      <c r="R6" s="46"/>
      <c r="S6" s="6"/>
      <c r="T6" s="46"/>
      <c r="U6" s="6"/>
      <c r="V6" s="6"/>
      <c r="W6" s="46"/>
      <c r="X6" s="46"/>
    </row>
    <row r="7">
      <c r="A7" s="47">
        <v>45967.666666666664</v>
      </c>
      <c r="B7" s="48" t="s">
        <v>22</v>
      </c>
      <c r="C7" s="11"/>
      <c r="D7" s="12">
        <v>11000.0</v>
      </c>
      <c r="E7" s="12">
        <v>2760.0</v>
      </c>
      <c r="F7" s="13">
        <v>3405.0</v>
      </c>
      <c r="G7" s="12">
        <v>3968.0</v>
      </c>
      <c r="H7" s="12">
        <v>11000.0</v>
      </c>
      <c r="I7" s="11"/>
      <c r="J7" s="14">
        <f t="shared" ref="J7:J8" si="6">(H7/2/F7)+(H7/2)/SQRT(E7*F7)</f>
        <v>3.409383822</v>
      </c>
      <c r="K7" s="13">
        <f t="shared" ref="K7:K8" si="7">H7/J7</f>
        <v>3226.389452</v>
      </c>
      <c r="L7" s="15">
        <f t="shared" ref="L7:L8" si="8">(H7/2)+(H7/2)/F7*SQRT(F7*G7)</f>
        <v>11437.31326</v>
      </c>
      <c r="M7" s="16">
        <v>45982.0</v>
      </c>
      <c r="N7" s="17">
        <v>400.0</v>
      </c>
      <c r="O7" s="18"/>
      <c r="P7" s="18"/>
      <c r="Q7" s="6"/>
      <c r="R7" s="46"/>
      <c r="S7" s="19">
        <v>3.81</v>
      </c>
      <c r="T7" s="20">
        <v>11375.0</v>
      </c>
      <c r="U7" s="6"/>
      <c r="V7" s="6"/>
      <c r="W7" s="22">
        <v>3914.0</v>
      </c>
      <c r="X7" s="22">
        <v>0.0</v>
      </c>
    </row>
    <row r="8">
      <c r="A8" s="47">
        <v>45982.75</v>
      </c>
      <c r="B8" s="48" t="s">
        <v>23</v>
      </c>
      <c r="C8" s="6"/>
      <c r="D8" s="42"/>
      <c r="E8" s="24">
        <v>2200.0</v>
      </c>
      <c r="F8" s="25">
        <v>2756.0</v>
      </c>
      <c r="G8" s="24">
        <v>3200.0</v>
      </c>
      <c r="H8" s="24">
        <v>2883.0</v>
      </c>
      <c r="I8" s="6"/>
      <c r="J8" s="26">
        <f t="shared" si="6"/>
        <v>1.108455441</v>
      </c>
      <c r="K8" s="27">
        <f t="shared" si="7"/>
        <v>2600.916458</v>
      </c>
      <c r="L8" s="28">
        <f t="shared" si="8"/>
        <v>2994.780998</v>
      </c>
      <c r="M8" s="29">
        <v>46023.0</v>
      </c>
      <c r="N8" s="30">
        <v>194.43</v>
      </c>
      <c r="O8" s="18"/>
      <c r="P8" s="6"/>
      <c r="Q8" s="6"/>
      <c r="R8" s="6"/>
      <c r="S8" s="32"/>
      <c r="T8" s="49"/>
      <c r="U8" s="6"/>
      <c r="V8" s="6"/>
      <c r="W8" s="22">
        <v>0.0</v>
      </c>
      <c r="X8" s="22">
        <v>3776.0</v>
      </c>
    </row>
    <row r="9">
      <c r="A9" s="31" t="s">
        <v>21</v>
      </c>
      <c r="B9" s="32"/>
      <c r="C9" s="32"/>
      <c r="D9" s="33"/>
      <c r="E9" s="33"/>
      <c r="F9" s="33"/>
      <c r="G9" s="33"/>
      <c r="H9" s="33"/>
      <c r="I9" s="32"/>
      <c r="J9" s="34"/>
      <c r="K9" s="33"/>
      <c r="L9" s="35"/>
      <c r="M9" s="36"/>
      <c r="N9" s="37">
        <f>N7+N8</f>
        <v>594.43</v>
      </c>
      <c r="O9" s="38"/>
      <c r="P9" s="38"/>
      <c r="Q9" s="39">
        <f t="shared" ref="Q9:T9" si="9">SUM(Q7:Q8)</f>
        <v>0</v>
      </c>
      <c r="R9" s="40">
        <f t="shared" si="9"/>
        <v>0</v>
      </c>
      <c r="S9" s="39">
        <f t="shared" si="9"/>
        <v>3.81</v>
      </c>
      <c r="T9" s="37">
        <f t="shared" si="9"/>
        <v>11375</v>
      </c>
      <c r="U9" s="32"/>
      <c r="V9" s="32"/>
      <c r="W9" s="41">
        <f t="shared" ref="W9:X9" si="10">SUM(W7:W8)</f>
        <v>3914</v>
      </c>
      <c r="X9" s="50">
        <f t="shared" si="10"/>
        <v>3776</v>
      </c>
    </row>
    <row r="10">
      <c r="A10" s="51"/>
      <c r="B10" s="6"/>
      <c r="C10" s="6"/>
      <c r="D10" s="42"/>
      <c r="E10" s="42"/>
      <c r="F10" s="42"/>
      <c r="G10" s="42"/>
      <c r="H10" s="42"/>
      <c r="I10" s="6"/>
      <c r="J10" s="43"/>
      <c r="K10" s="42"/>
      <c r="L10" s="44"/>
      <c r="M10" s="45"/>
      <c r="N10" s="46"/>
      <c r="O10" s="18"/>
      <c r="P10" s="18"/>
      <c r="Q10" s="6"/>
      <c r="R10" s="46"/>
      <c r="S10" s="6"/>
      <c r="T10" s="46"/>
      <c r="U10" s="6"/>
      <c r="V10" s="6"/>
      <c r="W10" s="46"/>
      <c r="X10" s="46"/>
    </row>
    <row r="11">
      <c r="A11" s="9">
        <v>45967.4375</v>
      </c>
      <c r="B11" s="52" t="s">
        <v>24</v>
      </c>
      <c r="C11" s="11"/>
      <c r="D11" s="12">
        <v>940.0</v>
      </c>
      <c r="E11" s="12">
        <v>3200.0</v>
      </c>
      <c r="F11" s="13">
        <v>3401.0</v>
      </c>
      <c r="G11" s="12">
        <v>4550.0</v>
      </c>
      <c r="H11" s="12">
        <v>969.7</v>
      </c>
      <c r="I11" s="11"/>
      <c r="J11" s="14">
        <f t="shared" ref="J11:J15" si="11">(H11/2/F11)+(H11/2)/SQRT(E11*F11)</f>
        <v>0.289531147</v>
      </c>
      <c r="K11" s="13">
        <f t="shared" ref="K11:K15" si="12">H11/J11</f>
        <v>3349.207883</v>
      </c>
      <c r="L11" s="15">
        <f t="shared" ref="L11:L15" si="13">(H11/2)+(H11/2)/F11*SQRT(F11*G11)</f>
        <v>1045.652295</v>
      </c>
      <c r="M11" s="16">
        <v>45977.0</v>
      </c>
      <c r="N11" s="17">
        <v>34.76</v>
      </c>
      <c r="O11" s="18"/>
      <c r="P11" s="18"/>
      <c r="Q11" s="6"/>
      <c r="R11" s="46"/>
      <c r="S11" s="6"/>
      <c r="T11" s="46"/>
      <c r="U11" s="6"/>
      <c r="V11" s="6"/>
      <c r="W11" s="46"/>
      <c r="X11" s="46"/>
    </row>
    <row r="12">
      <c r="A12" s="23">
        <v>45969.666666666664</v>
      </c>
      <c r="B12" s="52" t="s">
        <v>24</v>
      </c>
      <c r="C12" s="6"/>
      <c r="D12" s="24">
        <v>5400.0</v>
      </c>
      <c r="E12" s="24">
        <v>2765.0</v>
      </c>
      <c r="F12" s="25">
        <v>3419.0</v>
      </c>
      <c r="G12" s="24">
        <v>4031.0</v>
      </c>
      <c r="H12" s="53">
        <v>1623.0</v>
      </c>
      <c r="I12" s="6"/>
      <c r="J12" s="26">
        <f t="shared" si="11"/>
        <v>0.5012817117</v>
      </c>
      <c r="K12" s="27">
        <f t="shared" si="12"/>
        <v>3237.700403</v>
      </c>
      <c r="L12" s="28">
        <f t="shared" si="13"/>
        <v>1692.640925</v>
      </c>
      <c r="M12" s="29">
        <v>46023.0</v>
      </c>
      <c r="N12" s="6"/>
      <c r="O12" s="18"/>
      <c r="P12" s="6"/>
      <c r="Q12" s="6"/>
      <c r="R12" s="46"/>
      <c r="S12" s="6"/>
      <c r="T12" s="46"/>
      <c r="U12" s="6"/>
      <c r="V12" s="6"/>
      <c r="W12" s="46"/>
      <c r="X12" s="46"/>
    </row>
    <row r="13">
      <c r="A13" s="23">
        <v>45977.541666666664</v>
      </c>
      <c r="B13" s="52" t="s">
        <v>24</v>
      </c>
      <c r="C13" s="6"/>
      <c r="D13" s="24">
        <v>940.0</v>
      </c>
      <c r="E13" s="24">
        <v>2800.0</v>
      </c>
      <c r="F13" s="25">
        <v>3215.0</v>
      </c>
      <c r="G13" s="24">
        <v>3500.0</v>
      </c>
      <c r="H13" s="53">
        <v>877.0</v>
      </c>
      <c r="I13" s="6"/>
      <c r="J13" s="26">
        <f t="shared" si="11"/>
        <v>0.2825423415</v>
      </c>
      <c r="K13" s="27">
        <f t="shared" si="12"/>
        <v>3103.959552</v>
      </c>
      <c r="L13" s="28">
        <f t="shared" si="13"/>
        <v>896.0232107</v>
      </c>
      <c r="M13" s="29">
        <v>46023.0</v>
      </c>
      <c r="N13" s="6"/>
      <c r="O13" s="6"/>
      <c r="P13" s="6"/>
      <c r="Q13" s="6"/>
      <c r="R13" s="46"/>
      <c r="S13" s="6"/>
      <c r="T13" s="46"/>
      <c r="U13" s="6"/>
      <c r="V13" s="6"/>
      <c r="W13" s="46"/>
      <c r="X13" s="46"/>
    </row>
    <row r="14">
      <c r="A14" s="23">
        <v>45980.458333333336</v>
      </c>
      <c r="B14" s="52" t="s">
        <v>24</v>
      </c>
      <c r="C14" s="6"/>
      <c r="D14" s="42"/>
      <c r="E14" s="24">
        <v>2700.0</v>
      </c>
      <c r="F14" s="25">
        <v>3037.0</v>
      </c>
      <c r="G14" s="24">
        <v>3442.0</v>
      </c>
      <c r="H14" s="53">
        <v>985.0</v>
      </c>
      <c r="I14" s="6"/>
      <c r="J14" s="26">
        <f t="shared" si="11"/>
        <v>0.3341561208</v>
      </c>
      <c r="K14" s="27">
        <f t="shared" si="12"/>
        <v>2947.723949</v>
      </c>
      <c r="L14" s="28">
        <f t="shared" si="13"/>
        <v>1016.811365</v>
      </c>
      <c r="M14" s="29">
        <v>46023.0</v>
      </c>
      <c r="N14" s="6"/>
      <c r="O14" s="6"/>
      <c r="P14" s="6"/>
      <c r="Q14" s="6"/>
      <c r="R14" s="46"/>
      <c r="S14" s="6"/>
      <c r="T14" s="46"/>
      <c r="U14" s="6"/>
      <c r="V14" s="46"/>
      <c r="W14" s="46"/>
      <c r="X14" s="46"/>
    </row>
    <row r="15">
      <c r="A15" s="23">
        <v>46001.458333333336</v>
      </c>
      <c r="B15" s="52" t="s">
        <v>24</v>
      </c>
      <c r="C15" s="6"/>
      <c r="D15" s="42"/>
      <c r="E15" s="24">
        <v>2800.0</v>
      </c>
      <c r="F15" s="25">
        <v>2761.0</v>
      </c>
      <c r="G15" s="24">
        <v>3785.0</v>
      </c>
      <c r="H15" s="53">
        <v>977.0</v>
      </c>
      <c r="I15" s="6"/>
      <c r="J15" s="26">
        <f t="shared" si="11"/>
        <v>0.3526207956</v>
      </c>
      <c r="K15" s="27">
        <f t="shared" si="12"/>
        <v>2770.681741</v>
      </c>
      <c r="L15" s="28">
        <f t="shared" si="13"/>
        <v>1060.458221</v>
      </c>
      <c r="M15" s="29">
        <v>46023.0</v>
      </c>
      <c r="N15" s="30">
        <v>368.57</v>
      </c>
      <c r="O15" s="6"/>
      <c r="P15" s="6"/>
      <c r="Q15" s="46"/>
      <c r="R15" s="46"/>
      <c r="S15" s="19">
        <v>1.85</v>
      </c>
      <c r="T15" s="20">
        <v>5503.0</v>
      </c>
      <c r="U15" s="54">
        <v>23950.0</v>
      </c>
      <c r="V15" s="20">
        <v>4508.0</v>
      </c>
      <c r="W15" s="22">
        <v>3300.0</v>
      </c>
      <c r="X15" s="22">
        <v>4236.0</v>
      </c>
    </row>
    <row r="16">
      <c r="A16" s="31" t="s">
        <v>21</v>
      </c>
      <c r="B16" s="32"/>
      <c r="C16" s="32"/>
      <c r="D16" s="33"/>
      <c r="E16" s="33"/>
      <c r="F16" s="33"/>
      <c r="G16" s="33"/>
      <c r="H16" s="33"/>
      <c r="I16" s="32"/>
      <c r="J16" s="34"/>
      <c r="K16" s="33"/>
      <c r="L16" s="35"/>
      <c r="M16" s="36"/>
      <c r="N16" s="37">
        <f>SUM(N11:N15)</f>
        <v>403.33</v>
      </c>
      <c r="O16" s="38"/>
      <c r="P16" s="38"/>
      <c r="Q16" s="39">
        <f t="shared" ref="Q16:X16" si="14">SUM(Q14:Q15)</f>
        <v>0</v>
      </c>
      <c r="R16" s="40">
        <f t="shared" si="14"/>
        <v>0</v>
      </c>
      <c r="S16" s="39">
        <f t="shared" si="14"/>
        <v>1.85</v>
      </c>
      <c r="T16" s="37">
        <f t="shared" si="14"/>
        <v>5503</v>
      </c>
      <c r="U16" s="30">
        <f t="shared" si="14"/>
        <v>23950</v>
      </c>
      <c r="V16" s="37">
        <f t="shared" si="14"/>
        <v>4508</v>
      </c>
      <c r="W16" s="41">
        <f t="shared" si="14"/>
        <v>3300</v>
      </c>
      <c r="X16" s="41">
        <f t="shared" si="14"/>
        <v>4236</v>
      </c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46"/>
      <c r="R17" s="46"/>
      <c r="S17" s="6"/>
      <c r="T17" s="46"/>
      <c r="U17" s="6"/>
      <c r="V17" s="46"/>
      <c r="W17" s="46"/>
      <c r="X17" s="46"/>
    </row>
    <row r="18">
      <c r="A18" s="55">
        <v>46006.541666666664</v>
      </c>
      <c r="B18" s="56" t="s">
        <v>25</v>
      </c>
      <c r="C18" s="57"/>
      <c r="D18" s="24">
        <v>3946.0</v>
      </c>
      <c r="E18" s="24">
        <v>2887.0</v>
      </c>
      <c r="F18" s="25">
        <v>3130.0</v>
      </c>
      <c r="G18" s="24">
        <v>3395.0</v>
      </c>
      <c r="H18" s="24">
        <v>3946.0</v>
      </c>
      <c r="I18" s="6"/>
      <c r="J18" s="26">
        <f>(H18/2/F18)+(H18/2)/SQRT(E18*F18)</f>
        <v>1.286695445</v>
      </c>
      <c r="K18" s="27">
        <f>H18/J18</f>
        <v>3066.770784</v>
      </c>
      <c r="L18" s="28">
        <f>(H18/2)+(H18/2)/F18*SQRT(F18*G18)</f>
        <v>4027.824834</v>
      </c>
      <c r="M18" s="29">
        <v>46023.0</v>
      </c>
      <c r="N18" s="58">
        <v>139.88</v>
      </c>
      <c r="O18" s="6"/>
      <c r="P18" s="6"/>
      <c r="Q18" s="46"/>
      <c r="R18" s="46"/>
      <c r="S18" s="59">
        <v>1.01</v>
      </c>
      <c r="T18" s="60">
        <v>2996.0</v>
      </c>
      <c r="U18" s="58">
        <v>2526.0</v>
      </c>
      <c r="V18" s="60">
        <v>475.0</v>
      </c>
      <c r="W18" s="60">
        <v>1001.0</v>
      </c>
      <c r="X18" s="60">
        <v>4432.0</v>
      </c>
    </row>
    <row r="19">
      <c r="A19" s="31" t="s">
        <v>21</v>
      </c>
      <c r="B19" s="32"/>
      <c r="C19" s="32"/>
      <c r="D19" s="33"/>
      <c r="E19" s="33"/>
      <c r="F19" s="33"/>
      <c r="G19" s="33"/>
      <c r="H19" s="33"/>
      <c r="I19" s="32"/>
      <c r="J19" s="34"/>
      <c r="K19" s="33"/>
      <c r="L19" s="35"/>
      <c r="M19" s="36"/>
      <c r="N19" s="37">
        <f>SUM(N17:N18)</f>
        <v>139.88</v>
      </c>
      <c r="O19" s="38"/>
      <c r="P19" s="38"/>
      <c r="Q19" s="40">
        <f t="shared" ref="Q19:X19" si="15">SUM(Q17:Q18)</f>
        <v>0</v>
      </c>
      <c r="R19" s="40">
        <f t="shared" si="15"/>
        <v>0</v>
      </c>
      <c r="S19" s="39">
        <f t="shared" si="15"/>
        <v>1.01</v>
      </c>
      <c r="T19" s="37">
        <f t="shared" si="15"/>
        <v>2996</v>
      </c>
      <c r="U19" s="30">
        <f t="shared" si="15"/>
        <v>2526</v>
      </c>
      <c r="V19" s="37">
        <f t="shared" si="15"/>
        <v>475</v>
      </c>
      <c r="W19" s="41">
        <f t="shared" si="15"/>
        <v>1001</v>
      </c>
      <c r="X19" s="50">
        <f t="shared" si="15"/>
        <v>4432</v>
      </c>
    </row>
    <row r="20">
      <c r="A20" s="51"/>
      <c r="B20" s="6"/>
      <c r="C20" s="6"/>
      <c r="D20" s="42"/>
      <c r="E20" s="42"/>
      <c r="F20" s="42"/>
      <c r="G20" s="42"/>
      <c r="H20" s="42"/>
      <c r="I20" s="6"/>
      <c r="J20" s="43"/>
      <c r="K20" s="42"/>
      <c r="L20" s="44"/>
      <c r="M20" s="45"/>
      <c r="N20" s="6"/>
      <c r="O20" s="6"/>
      <c r="P20" s="6"/>
      <c r="Q20" s="46"/>
      <c r="R20" s="46"/>
      <c r="S20" s="6"/>
      <c r="T20" s="46"/>
      <c r="U20" s="6"/>
      <c r="V20" s="46"/>
      <c r="W20" s="21"/>
      <c r="X20" s="6"/>
    </row>
    <row r="21">
      <c r="A21" s="55">
        <v>46001.395833333336</v>
      </c>
      <c r="B21" s="56" t="s">
        <v>26</v>
      </c>
      <c r="C21" s="57"/>
      <c r="D21" s="24">
        <v>1979.0</v>
      </c>
      <c r="E21" s="24">
        <v>2799.0</v>
      </c>
      <c r="F21" s="25">
        <v>3334.0</v>
      </c>
      <c r="G21" s="24">
        <v>3800.0</v>
      </c>
      <c r="H21" s="24">
        <v>1979.0</v>
      </c>
      <c r="I21" s="6"/>
      <c r="J21" s="26">
        <f>(H21/2/F21)+(H21/2)/SQRT(E21*F21)</f>
        <v>0.6207060085</v>
      </c>
      <c r="K21" s="27">
        <f>H21/J21</f>
        <v>3188.304886</v>
      </c>
      <c r="L21" s="28">
        <f>(H21/2)+(H21/2)/F21*SQRT(F21*G21)</f>
        <v>2045.891259</v>
      </c>
      <c r="M21" s="29">
        <v>46023.0</v>
      </c>
      <c r="N21" s="58">
        <v>84.8</v>
      </c>
      <c r="O21" s="6"/>
      <c r="P21" s="6"/>
      <c r="Q21" s="46"/>
      <c r="R21" s="46"/>
      <c r="S21" s="59">
        <v>1.803</v>
      </c>
      <c r="T21" s="60">
        <v>5362.0</v>
      </c>
      <c r="U21" s="6"/>
      <c r="V21" s="46"/>
      <c r="W21" s="58">
        <v>1950.0</v>
      </c>
      <c r="X21" s="58">
        <v>1854.0</v>
      </c>
    </row>
    <row r="22">
      <c r="A22" s="31" t="s">
        <v>21</v>
      </c>
      <c r="B22" s="32"/>
      <c r="C22" s="32"/>
      <c r="D22" s="33"/>
      <c r="E22" s="33"/>
      <c r="F22" s="33"/>
      <c r="G22" s="33"/>
      <c r="H22" s="33"/>
      <c r="I22" s="32"/>
      <c r="J22" s="34"/>
      <c r="K22" s="33"/>
      <c r="L22" s="35"/>
      <c r="M22" s="36"/>
      <c r="N22" s="37">
        <f>SUM(N20:N21)</f>
        <v>84.8</v>
      </c>
      <c r="O22" s="38"/>
      <c r="P22" s="38"/>
      <c r="Q22" s="40">
        <f t="shared" ref="Q22:X22" si="16">SUM(Q20:Q21)</f>
        <v>0</v>
      </c>
      <c r="R22" s="40">
        <f t="shared" si="16"/>
        <v>0</v>
      </c>
      <c r="S22" s="39">
        <f t="shared" si="16"/>
        <v>1.803</v>
      </c>
      <c r="T22" s="37">
        <f t="shared" si="16"/>
        <v>5362</v>
      </c>
      <c r="U22" s="30">
        <f t="shared" si="16"/>
        <v>0</v>
      </c>
      <c r="V22" s="37">
        <f t="shared" si="16"/>
        <v>0</v>
      </c>
      <c r="W22" s="41">
        <f t="shared" si="16"/>
        <v>1950</v>
      </c>
      <c r="X22" s="50">
        <f t="shared" si="16"/>
        <v>1854</v>
      </c>
    </row>
    <row r="23">
      <c r="A23" s="61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8" t="s">
        <v>27</v>
      </c>
      <c r="O23" s="6"/>
      <c r="P23" s="6"/>
      <c r="Q23" s="62"/>
      <c r="R23" s="6"/>
      <c r="S23" s="8" t="s">
        <v>28</v>
      </c>
      <c r="U23" s="6"/>
      <c r="V23" s="6"/>
      <c r="W23" s="8" t="s">
        <v>29</v>
      </c>
      <c r="X23" s="8" t="s">
        <v>30</v>
      </c>
    </row>
    <row r="24">
      <c r="A24" s="61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32"/>
      <c r="N24" s="40">
        <f>N5+N9+N16+N19+N22</f>
        <v>1408.99</v>
      </c>
      <c r="O24" s="6"/>
      <c r="P24" s="6"/>
      <c r="Q24" s="6"/>
      <c r="R24" s="6"/>
      <c r="S24" s="39">
        <f t="shared" ref="S24:T24" si="17">S5+S9+S16+S19+S22</f>
        <v>10.253</v>
      </c>
      <c r="T24" s="40">
        <f t="shared" si="17"/>
        <v>30550</v>
      </c>
      <c r="U24" s="6"/>
      <c r="V24" s="6"/>
      <c r="W24" s="40">
        <f t="shared" ref="W24:X24" si="18">W5+W9+W16+W19+W22</f>
        <v>16682</v>
      </c>
      <c r="X24" s="37">
        <f t="shared" si="18"/>
        <v>15066</v>
      </c>
    </row>
    <row r="25">
      <c r="A25" s="61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8" t="s">
        <v>31</v>
      </c>
      <c r="U25" s="6"/>
      <c r="V25" s="6"/>
      <c r="W25" s="6"/>
      <c r="X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30">
        <v>3.71</v>
      </c>
      <c r="T26" s="32"/>
      <c r="U26" s="6"/>
      <c r="V26" s="6"/>
      <c r="W26" s="6"/>
      <c r="X26" s="6"/>
    </row>
  </sheetData>
  <mergeCells count="9">
    <mergeCell ref="S23:T23"/>
    <mergeCell ref="S25:T25"/>
    <mergeCell ref="C1:D1"/>
    <mergeCell ref="J1:K1"/>
    <mergeCell ref="M1:N1"/>
    <mergeCell ref="P1:V1"/>
    <mergeCell ref="Q2:R2"/>
    <mergeCell ref="S2:T2"/>
    <mergeCell ref="U2:V2"/>
  </mergeCells>
  <drawing r:id="rId1"/>
</worksheet>
</file>